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AEB6CD43-3091-44DD-B509-655E9ED0EB7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ex.excel01" sheetId="1" r:id="rId1"/>
    <sheet name="ex.excel02" sheetId="5" r:id="rId2"/>
    <sheet name="ex.excel03" sheetId="3" r:id="rId3"/>
    <sheet name="ex.excel04" sheetId="4" r:id="rId4"/>
  </sheets>
  <definedNames>
    <definedName name="_xlnm._FilterDatabase" localSheetId="0" hidden="1">ex.excel01!$A$2:$E$2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F3" i="4"/>
  <c r="F7" i="3"/>
  <c r="G3" i="3"/>
  <c r="G4" i="3"/>
  <c r="G5" i="3"/>
  <c r="G6" i="3"/>
  <c r="G7" i="3"/>
  <c r="F4" i="3"/>
  <c r="F3" i="3"/>
  <c r="F5" i="3"/>
  <c r="F6" i="3"/>
  <c r="D3" i="5" a="1"/>
  <c r="D3" i="5"/>
  <c r="D4" i="5" a="1"/>
  <c r="D4" i="5"/>
  <c r="D5" i="5" a="1"/>
  <c r="D5" i="5"/>
  <c r="D6" i="5" a="1"/>
  <c r="D6" i="5"/>
  <c r="D7" i="5" a="1"/>
  <c r="D7" i="5"/>
  <c r="D8" i="5" a="1"/>
  <c r="D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<sst xmlns="http://schemas.openxmlformats.org/spreadsheetml/2006/main" count="71" uniqueCount="60">
  <si>
    <t>titulo de produtos da cafeteria</t>
  </si>
  <si>
    <t>id_ produto</t>
  </si>
  <si>
    <t>tipo_ cafe</t>
  </si>
  <si>
    <t>tamanho</t>
  </si>
  <si>
    <t>valor_ 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</si>
  <si>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</si>
  <si>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</si>
  <si>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</si>
  <si>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</si>
  <si>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</si>
  <si>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</si>
  <si>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</si>
  <si>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</si>
  <si>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Funcionário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</si>
  <si>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</si>
  <si>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</si>
  <si>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</si>
  <si>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</si>
  <si>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</si>
  <si>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</si>
  <si>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</si>
  <si>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</si>
  <si>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</si>
  <si>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</si>
  <si>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</si>
  <si>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</si>
  <si>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</si>
  <si>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</si>
  <si>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</si>
  <si>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</si>
  <si>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</si>
  <si>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do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</si>
  <si>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</si>
  <si>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</si>
  <si>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</si>
  <si>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</si>
  <si>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</si>
  <si>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</si>
  <si>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</si>
  <si>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</si>
  <si>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</si>
  <si>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</si>
  <si>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</si>
  <si>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</si>
  <si>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</si>
  <si>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</si>
  <si>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experiência na área</t>
  </si>
  <si>
    <t>Situacao</t>
  </si>
  <si>
    <t>Alfa Romeu Julia</t>
  </si>
  <si>
    <t>Não</t>
  </si>
  <si>
    <t>Sim</t>
  </si>
  <si>
    <t>Fusclaudia de Oliveira</t>
  </si>
  <si>
    <t>Unotavio dos Santos</t>
  </si>
  <si>
    <t>Nissan Silvia</t>
  </si>
  <si>
    <t>Ferrari Enzo</t>
  </si>
  <si>
    <t>Requisitos para ser contratado</t>
  </si>
  <si>
    <t>Ter idade maior ou igual a 18 anos</t>
  </si>
  <si>
    <t>Ter ensino médio completo</t>
  </si>
  <si>
    <t>Ter curso vendedor</t>
  </si>
  <si>
    <t>Ter no minimo 3 anos de eperiência na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</si>
</sst>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0.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/>
    <xf numFmtId="0" fontId="0" fillId="0" borderId="0" xfId="0" applyNumberFormat="1" applyFont="1"/>
    <xf numFmtId="0" fontId="0" fillId="0" borderId="0" xfId="0" applyAlignment="1"/>
    <xf numFmtId="0" fontId="0" fillId="0" borderId="0" xfId="0" applyAlignment="1"/>
    <xf numFmtId="0" fontId="2" fillId="2" borderId="0" xfId="0" applyFont="1" applyFill="1" applyAlignment="1">
      <alignment horizontal="center"/>
    </xf>
    <xf numFmtId="0" fontId="0" fillId="5" borderId="0" xfId="0" applyFill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2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general"/>
    </dxf>
    <dxf>
      <numFmt numFmtId="165" formatCode="0.0"/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-[$R$-416]\ * #,##0.00_-;\-[$R$-416]\ * #,##0.00_-;_-[$R$-416]\ * &quot;-&quot;??_-;_-@_-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67F69-2B60-40E8-BA2E-369465F5F7D3}" name="Tabela1" displayName="Tabela1" ref="A2:E6" totalsRowShown="0" headerRowDxfId="23">
  <autoFilter ref="A2:E6" xr:uid="{8B167F69-2B60-40E8-BA2E-369465F5F7D3}"/>
  <tableColumns count="5">
    <tableColumn id="1" xr3:uid="{0C9BF126-0A41-47FD-B999-A283F1B924FA}" name="id_ produto" dataDxfId="22"/>
    <tableColumn id="2" xr3:uid="{5278F8B5-CEB1-447E-88A5-47996FE0A3A7}" name="tipo_ cafe"/>
    <tableColumn id="3" xr3:uid="{D0A201FC-24B2-4178-A808-4CE1192FB9D0}" name="tamanho"/>
    <tableColumn id="4" xr3:uid="{C5FAFD96-2963-4E77-8B71-57E1FBF10409}" name="valor_ unitario" dataDxfId="21"/>
    <tableColumn id="5" xr3:uid="{9DAE606F-3D8E-4180-9071-11DD1BBD8F39}" name="quantidad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B2BD3F-B434-45C3-8788-67058C0AF6D6}" name="Tabela6" displayName="Tabela6" ref="A2:D8" totalsRowShown="0" headerRowDxfId="20" dataDxfId="19">
  <autoFilter ref="A2:D8" xr:uid="{F7B2BD3F-B434-45C3-8788-67058C0AF6D6}"/>
  <tableColumns count="4">
    <tableColumn id="1" xr3:uid="{CAE3D65A-8F1F-45E7-A773-D2F8A03906AA}" name="Funcionário" dataDxfId="18"/>
    <tableColumn id="2" xr3:uid="{49EF1854-CA6A-4856-945F-9FD194685DBE}" name="Produto" dataDxfId="17"/>
    <tableColumn id="3" xr3:uid="{4BCF9ECD-DE9F-4CB1-9583-05F06242FB25}" name="Vendas" dataDxfId="16"/>
    <tableColumn id="4" xr3:uid="{C9974A1C-A91A-4784-AA36-05DC4EC781BE}" name="Resultado" dataDxfId="15">
      <calculatedColumnFormula array="1">_xlfn.IFS(C3&gt;5,"ÓTIMO",C3&lt;5,"PÉSSIMO",C3=5,"REGULAR")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F270A-D237-483C-85A7-51721C01BCCF}" name="Tabela2" displayName="Tabela2" ref="A2:G7" totalsRowShown="0" headerRowDxfId="9">
  <autoFilter ref="A2:G7" xr:uid="{3ECF270A-D237-483C-85A7-51721C01BCCF}"/>
  <tableColumns count="7">
    <tableColumn id="1" xr3:uid="{4F8F5A19-6B72-482E-ADB5-08BAAA2DC7FA}" name="RA"/>
    <tableColumn id="2" xr3:uid="{EFD039F0-9DF2-4AC8-9150-334BE6C00CAF}" name="Nome do aluno" dataDxfId="8"/>
    <tableColumn id="3" xr3:uid="{429CCA2D-21F6-43E0-8BDE-FD1D6B7BC413}" name="Nota 1 Trimestre" dataDxfId="7"/>
    <tableColumn id="4" xr3:uid="{F0769AEC-CD06-4E50-8AF6-B31DCA574BD5}" name="Nota 2 Trimestre" dataDxfId="6"/>
    <tableColumn id="5" xr3:uid="{C1483E25-9E5B-4F81-9184-F27D12EEBC1C}" name="Nota 3 Trimestre" dataDxfId="5"/>
    <tableColumn id="6" xr3:uid="{37EC10C4-99FC-4ABF-9886-059046FB54AE}" name="Média Final" dataDxfId="4">
      <calculatedColumnFormula>AVERAGE(C3:E3)</calculatedColumnFormula>
    </tableColumn>
    <tableColumn id="7" xr3:uid="{A5267CDC-60D4-4861-936F-737DD2396426}" name="Resultado" dataDxfId="3">
      <calculatedColumnFormula>IF(F3&gt;=6, "Aprovado", "Reprovado")</calculatedColumnFormula>
    </tableColumn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C6E2-5C19-481F-A33E-233715524158}" name="Tabela3" displayName="Tabela3" ref="A2:F7" totalsRowShown="0">
  <autoFilter ref="A2:F7" xr:uid="{DB7BC6E2-5C19-481F-A33E-233715524158}"/>
  <tableColumns count="6">
    <tableColumn id="1" xr3:uid="{F107925E-864C-481F-9C4B-966D11D1FB89}" name="Nome"/>
    <tableColumn id="2" xr3:uid="{7C1B04AF-89E3-401B-959D-C6681FE47111}" name="Idade"/>
    <tableColumn id="3" xr3:uid="{AD4C5FA3-A2ED-4400-946D-D67AE8900183}" name="Ensino Médio"/>
    <tableColumn id="4" xr3:uid="{FDA1C035-3A05-43B8-B400-6E88A3934DA3}" name="Curso técnico"/>
    <tableColumn id="5" xr3:uid="{4E3C8241-B612-4615-9F2B-7020A72934E0}" name="Anos de experiência na área"/>
    <tableColumn id="6" xr3:uid="{BEFDE5B2-DCC8-40F3-8A27-985DC72B7175}" name="Situacao" dataDxfId="0">
      <calculatedColumnFormula array="1">AND(C3=Si)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1"/>
    </sheetView>
  </sheetViews>
  <sheetFormatPr defaultRowHeight="15"/>
  <cols>
    <col min="1" max="1" width="15" customWidth="1"/>
    <col min="2" max="2" width="12.85546875" customWidth="1"/>
    <col min="3" max="3" width="11.85546875" customWidth="1"/>
    <col min="4" max="4" width="18" customWidth="1"/>
    <col min="5" max="5" width="14" customWidth="1"/>
  </cols>
  <sheetData>
    <row r="1" spans="1:5">
      <c r="A1" s="11" t="s">
        <v>0</v>
      </c>
      <c r="B1" s="11"/>
      <c r="C1" s="11"/>
      <c r="D1" s="11"/>
      <c r="E1" s="1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2</v>
      </c>
      <c r="B3" t="s">
        <v>6</v>
      </c>
      <c r="C3" t="s">
        <v>7</v>
      </c>
      <c r="D3" s="1">
        <v>29.79</v>
      </c>
      <c r="E3">
        <v>20</v>
      </c>
    </row>
    <row r="4" spans="1:5">
      <c r="A4" s="3">
        <v>1</v>
      </c>
      <c r="B4" t="s">
        <v>6</v>
      </c>
      <c r="C4" t="s">
        <v>7</v>
      </c>
      <c r="D4" s="1">
        <v>3.89</v>
      </c>
      <c r="E4">
        <v>10</v>
      </c>
    </row>
    <row r="5" spans="1:5">
      <c r="A5" s="3">
        <v>3</v>
      </c>
      <c r="B5" t="s">
        <v>8</v>
      </c>
      <c r="C5" t="s">
        <v>9</v>
      </c>
      <c r="D5" s="1">
        <v>3.38</v>
      </c>
      <c r="E5">
        <v>30</v>
      </c>
    </row>
    <row r="6" spans="1:5">
      <c r="A6" s="3">
        <v>4</v>
      </c>
      <c r="B6" t="s">
        <v>10</v>
      </c>
      <c r="C6" t="s">
        <v>11</v>
      </c>
      <c r="D6" s="1">
        <v>13.43</v>
      </c>
      <c r="E6">
        <v>40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A3B9-E7D2-413C-BF8E-D097CFA4FC12}">
  <dimension ref="A1:D8"/>
  <sheetViews>
    <sheetView workbookViewId="0">
      <selection activeCell="D4" sqref="D3:D8"/>
    </sheetView>
  </sheetViews>
  <sheetFormatPr defaultRowHeight="15"/>
  <cols>
    <col min="1" max="1" width="20.140625" style="3" customWidth="1"/>
    <col min="2" max="2" width="18.85546875" style="3" customWidth="1"/>
    <col min="3" max="3" width="16.85546875" style="3" customWidth="1"/>
    <col min="4" max="4" width="19.7109375" style="3" customWidth="1"/>
  </cols>
  <sheetData>
    <row r="1" spans="1:4">
      <c r="A1" s="12" t="s">
        <v>12</v>
      </c>
      <c r="B1" s="12"/>
      <c r="C1" s="12"/>
      <c r="D1" s="12"/>
    </row>
    <row r="2" spans="1:4">
      <c r="A2" s="3" t="s">
        <v>13</v>
      </c>
      <c r="B2" s="3" t="s">
        <v>14</v>
      </c>
      <c r="C2" s="3" t="s">
        <v>15</v>
      </c>
      <c r="D2" s="3" t="s">
        <v>16</v>
      </c>
    </row>
    <row r="3" spans="1:4">
      <c r="A3" s="3" t="s">
        <v>17</v>
      </c>
      <c r="B3" s="3" t="s">
        <v>18</v>
      </c>
      <c r="C3" s="3">
        <v>8</v>
      </c>
      <c r="D3" s="3" t="str" cm="1">
        <f t="array" ref="D3">_xlfn.IFS(C3&gt;5,"ÓTIMO",C3&lt;5,"PÉSSIMO",C3=5,"REGULAR")</f>
        <v>ÓTIMO</v>
      </c>
    </row>
    <row r="4" spans="1:4">
      <c r="A4" s="3" t="s">
        <v>19</v>
      </c>
      <c r="B4" s="3" t="s">
        <v>20</v>
      </c>
      <c r="C4" s="3">
        <v>5</v>
      </c>
      <c r="D4" s="3" t="str" cm="1">
        <f t="array" ref="D4">_xlfn.IFS(C4&gt;5,"ÓTIMO",C4&lt;5,"PÉSSIMO",C4=5,"REGULAR")</f>
        <v>REGULAR</v>
      </c>
    </row>
    <row r="5" spans="1:4">
      <c r="A5" s="3" t="s">
        <v>21</v>
      </c>
      <c r="B5" s="3" t="s">
        <v>22</v>
      </c>
      <c r="C5" s="3">
        <v>9</v>
      </c>
      <c r="D5" s="3" t="str" cm="1">
        <f t="array" ref="D5">_xlfn.IFS(C5&gt;5,"ÓTIMO",C5&lt;5,"PÉSSIMO",C5=5,"REGULAR")</f>
        <v>ÓTIMO</v>
      </c>
    </row>
    <row r="6" spans="1:4">
      <c r="A6" s="3" t="s">
        <v>23</v>
      </c>
      <c r="B6" s="3" t="s">
        <v>24</v>
      </c>
      <c r="C6" s="3">
        <v>4</v>
      </c>
      <c r="D6" s="3" t="str" cm="1">
        <f t="array" ref="D6">_xlfn.IFS(C6&gt;5,"ÓTIMO",C6&lt;5,"PÉSSIMO",C6=5,"REGULAR")</f>
        <v>PÉSSIMO</v>
      </c>
    </row>
    <row r="7" spans="1:4">
      <c r="A7" s="3" t="s">
        <v>25</v>
      </c>
      <c r="B7" s="3" t="s">
        <v>26</v>
      </c>
      <c r="C7" s="3">
        <v>6</v>
      </c>
      <c r="D7" s="3" t="str" cm="1">
        <f t="array" ref="D7">_xlfn.IFS(C7&gt;5,"ÓTIMO",C7&lt;5,"PÉSSIMO",C7=5,"REGULAR")</f>
        <v>ÓTIMO</v>
      </c>
    </row>
    <row r="8" spans="1:4">
      <c r="A8" s="3" t="s">
        <v>27</v>
      </c>
      <c r="B8" s="3" t="s">
        <v>28</v>
      </c>
      <c r="C8" s="3">
        <v>3</v>
      </c>
      <c r="D8" s="3" t="str" cm="1">
        <f t="array" ref="D8">_xlfn.IFS(C8&gt;5,"ÓTIMO",C8&lt;5,"PÉSSIMO",C8=5,"REGULAR")</f>
        <v>PÉSSIMO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57CB-67F4-4B24-8EAC-12655EF7BF66}">
  <dimension ref="A1:G7"/>
  <sheetViews>
    <sheetView topLeftCell="C1" workbookViewId="0">
      <selection activeCell="G6" sqref="G6"/>
    </sheetView>
  </sheetViews>
  <sheetFormatPr defaultRowHeight="15"/>
  <cols>
    <col min="1" max="1" width="14.42578125" customWidth="1"/>
    <col min="2" max="2" width="24.7109375" style="4" customWidth="1"/>
    <col min="3" max="3" width="27.7109375" style="4" customWidth="1"/>
    <col min="4" max="4" width="29.42578125" style="4" customWidth="1"/>
    <col min="5" max="5" width="26.85546875" style="4" customWidth="1"/>
    <col min="6" max="6" width="23" style="4" customWidth="1"/>
    <col min="7" max="7" width="20" style="4" customWidth="1"/>
  </cols>
  <sheetData>
    <row r="1" spans="1:7">
      <c r="A1" s="13" t="s">
        <v>29</v>
      </c>
      <c r="B1" s="13"/>
      <c r="C1" s="13"/>
      <c r="D1" s="13"/>
      <c r="E1" s="13"/>
      <c r="F1" s="13"/>
      <c r="G1" s="13"/>
    </row>
    <row r="2" spans="1:7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16</v>
      </c>
    </row>
    <row r="3" spans="1:7">
      <c r="A3">
        <v>2001</v>
      </c>
      <c r="B3" s="7" t="s">
        <v>36</v>
      </c>
      <c r="C3" s="7">
        <v>5</v>
      </c>
      <c r="D3" s="7">
        <v>6</v>
      </c>
      <c r="E3" s="7">
        <v>8</v>
      </c>
      <c r="F3" s="5">
        <f>AVERAGE(C3:E3)</f>
        <v>6.333333333333333</v>
      </c>
      <c r="G3" s="7" t="str">
        <f>IF(F3&gt;=6, "Aprovado", "Reprovado")</f>
        <v>Aprovado</v>
      </c>
    </row>
    <row r="4" spans="1:7">
      <c r="A4">
        <v>2002</v>
      </c>
      <c r="B4" s="7" t="s">
        <v>37</v>
      </c>
      <c r="C4" s="7">
        <v>10</v>
      </c>
      <c r="D4" s="7">
        <v>7</v>
      </c>
      <c r="E4" s="7">
        <v>8</v>
      </c>
      <c r="F4" s="5">
        <f>AVERAGE(C4:E4)</f>
        <v>8.3333333333333339</v>
      </c>
      <c r="G4" s="7" t="str">
        <f t="shared" ref="G3:G7" si="0">IF(F4&gt;=6, "Aprovado", "Reprovado")</f>
        <v>Aprovado</v>
      </c>
    </row>
    <row r="5" spans="1:7">
      <c r="A5">
        <v>2003</v>
      </c>
      <c r="B5" s="7" t="s">
        <v>38</v>
      </c>
      <c r="C5" s="7">
        <v>5</v>
      </c>
      <c r="D5" s="7">
        <v>2</v>
      </c>
      <c r="E5" s="7">
        <v>8</v>
      </c>
      <c r="F5" s="5">
        <f t="shared" ref="F3:F7" si="1">AVERAGE(C5:E5)</f>
        <v>5</v>
      </c>
      <c r="G5" s="7" t="str">
        <f t="shared" si="0"/>
        <v>Reprovado</v>
      </c>
    </row>
    <row r="6" spans="1:7">
      <c r="A6">
        <v>2004</v>
      </c>
      <c r="B6" s="7" t="s">
        <v>39</v>
      </c>
      <c r="C6" s="7">
        <v>2</v>
      </c>
      <c r="D6" s="7">
        <v>1</v>
      </c>
      <c r="E6" s="7">
        <v>3</v>
      </c>
      <c r="F6" s="5">
        <f t="shared" si="1"/>
        <v>2</v>
      </c>
      <c r="G6" s="7" t="str">
        <f t="shared" si="0"/>
        <v>Reprovado</v>
      </c>
    </row>
    <row r="7" spans="1:7">
      <c r="A7">
        <v>2005</v>
      </c>
      <c r="B7" s="7" t="s">
        <v>40</v>
      </c>
      <c r="C7" s="7">
        <v>4</v>
      </c>
      <c r="D7" s="7">
        <v>7</v>
      </c>
      <c r="E7" s="7">
        <v>8</v>
      </c>
      <c r="F7" s="5">
        <f>AVERAGE(C7:E7)</f>
        <v>6.333333333333333</v>
      </c>
      <c r="G7" s="7" t="str">
        <f t="shared" si="0"/>
        <v>Aprovado</v>
      </c>
    </row>
  </sheetData>
  <mergeCells count="1">
    <mergeCell ref="A1:G1"/>
  </mergeCells>
  <conditionalFormatting sqref="G3:G7">
    <cfRule type="cellIs" dxfId="14" priority="6" operator="equal">
      <formula>"Aprovado"</formula>
    </cfRule>
  </conditionalFormatting>
  <conditionalFormatting sqref="G3:G7">
    <cfRule type="cellIs" dxfId="13" priority="5" operator="equal">
      <formula>"Reprovado"</formula>
    </cfRule>
  </conditionalFormatting>
  <conditionalFormatting sqref="F3:F7">
    <cfRule type="cellIs" dxfId="12" priority="4" operator="equal">
      <formula>"Aprovado"</formula>
    </cfRule>
  </conditionalFormatting>
  <conditionalFormatting sqref="C3:F7">
    <cfRule type="aboveAverage" dxfId="11" priority="2"/>
  </conditionalFormatting>
  <conditionalFormatting sqref="C3:F7">
    <cfRule type="aboveAverage" dxfId="10" priority="1" aboveAverage="0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122-BE8B-49F8-971D-822096F5D10F}">
  <dimension ref="A1:F15"/>
  <sheetViews>
    <sheetView tabSelected="1" workbookViewId="0">
      <selection activeCell="D9" sqref="D9"/>
    </sheetView>
  </sheetViews>
  <sheetFormatPr defaultRowHeight="15"/>
  <cols>
    <col min="1" max="1" width="40.140625" bestFit="1" customWidth="1"/>
    <col min="2" max="2" width="8.42578125" bestFit="1" customWidth="1"/>
    <col min="3" max="3" width="15.7109375" bestFit="1" customWidth="1"/>
    <col min="4" max="4" width="15.28515625" bestFit="1" customWidth="1"/>
    <col min="5" max="5" width="29" bestFit="1" customWidth="1"/>
    <col min="6" max="6" width="11" bestFit="1" customWidth="1"/>
  </cols>
  <sheetData>
    <row r="1" spans="1:6">
      <c r="A1" s="9" t="s">
        <v>41</v>
      </c>
      <c r="B1" s="9"/>
      <c r="C1" s="9"/>
      <c r="D1" s="9"/>
      <c r="E1" s="9"/>
      <c r="F1" s="9"/>
    </row>
    <row r="2" spans="1: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>
      <c r="A3" t="s">
        <v>48</v>
      </c>
      <c r="B3">
        <v>17</v>
      </c>
      <c r="C3" t="s">
        <v>49</v>
      </c>
      <c r="D3" t="s">
        <v>50</v>
      </c>
      <c r="E3">
        <v>1</v>
      </c>
      <c r="F3" t="str">
        <f>IF(AND(B3&gt;=18,C3="Sim",OR(D3="Sim",E3&gt;=3)),"Apto","Não apto")</f>
        <v>Não apto</v>
      </c>
    </row>
    <row r="4" spans="1:6">
      <c r="A4" t="s">
        <v>51</v>
      </c>
      <c r="B4">
        <v>24</v>
      </c>
      <c r="C4" t="s">
        <v>50</v>
      </c>
      <c r="D4" t="s">
        <v>50</v>
      </c>
      <c r="E4">
        <v>3</v>
      </c>
      <c r="F4" t="str">
        <f>IF(AND(B4&gt;=18,C4="Sim",OR(D4="Sim",E4&gt;=3)),"Apto","Não apto")</f>
        <v>Apto</v>
      </c>
    </row>
    <row r="5" spans="1:6">
      <c r="A5" t="s">
        <v>52</v>
      </c>
      <c r="B5">
        <v>28</v>
      </c>
      <c r="C5" t="s">
        <v>50</v>
      </c>
      <c r="D5" t="s">
        <v>50</v>
      </c>
      <c r="E5">
        <v>4</v>
      </c>
      <c r="F5" t="str">
        <f>IF(AND(B5&gt;=18,C5="Sim",OR(D5="Sim",E5&gt;=3)),"Apto","Não apto")</f>
        <v>Apto</v>
      </c>
    </row>
    <row r="6" spans="1:6">
      <c r="A6" t="s">
        <v>53</v>
      </c>
      <c r="B6">
        <v>18</v>
      </c>
      <c r="C6" t="s">
        <v>50</v>
      </c>
      <c r="D6" t="s">
        <v>49</v>
      </c>
      <c r="E6">
        <v>1</v>
      </c>
      <c r="F6" s="6" t="str">
        <f>IF(AND(B6&gt;=18,C6="Sim",OR(D6="Sim",E6&gt;=3)),"Apto","Não apto")</f>
        <v>Não apto</v>
      </c>
    </row>
    <row r="7" spans="1:6">
      <c r="A7" t="s">
        <v>54</v>
      </c>
      <c r="B7">
        <v>22</v>
      </c>
      <c r="C7" t="s">
        <v>50</v>
      </c>
      <c r="D7" t="s">
        <v>50</v>
      </c>
      <c r="E7">
        <v>2</v>
      </c>
      <c r="F7" t="str">
        <f>IF(AND(B7&gt;=18,C7="Sim",D7="Sim",E7&gt;=3,OR(D7="Sim",E7&gt;=3)),"Apto","Não apto")</f>
        <v>Não apto</v>
      </c>
    </row>
    <row r="11" spans="1:6">
      <c r="A11" s="9" t="s">
        <v>55</v>
      </c>
      <c r="B11" s="9"/>
      <c r="C11" s="9"/>
    </row>
    <row r="12" spans="1:6">
      <c r="A12" s="10" t="s">
        <v>56</v>
      </c>
      <c r="B12" s="10"/>
      <c r="C12" s="10"/>
    </row>
    <row r="13" spans="1:6">
      <c r="A13" s="8" t="s">
        <v>57</v>
      </c>
      <c r="B13" s="8"/>
      <c r="C13" s="8"/>
    </row>
    <row r="14" spans="1:6">
      <c r="A14" s="10" t="s">
        <v>58</v>
      </c>
      <c r="B14" s="10"/>
      <c r="C14" s="10"/>
    </row>
    <row r="15" spans="1:6">
      <c r="A15" s="8" t="s">
        <v>59</v>
      </c>
      <c r="B15" s="8"/>
      <c r="C15" s="8"/>
    </row>
  </sheetData>
  <mergeCells count="6">
    <mergeCell ref="A15:C15"/>
    <mergeCell ref="A1:F1"/>
    <mergeCell ref="A11:C11"/>
    <mergeCell ref="A13:C13"/>
    <mergeCell ref="A12:C12"/>
    <mergeCell ref="A14:C14"/>
  </mergeCells>
  <conditionalFormatting sqref="F3:F7">
    <cfRule type="cellIs" dxfId="2" priority="2" operator="equal">
      <formula>"Apto"</formula>
    </cfRule>
  </conditionalFormatting>
  <conditionalFormatting sqref="F3:F7">
    <cfRule type="cellIs" dxfId="1" priority="1" operator="equal">
      <formula>"Não apto"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2026-09-02T17:12:36Z</dcterms:created>
  <dcterms:modified xsi:type="dcterms:W3CDTF">2026-09-09T19:45:51Z</dcterms:modified>
  <cp:category/>
  <cp:contentStatus/>
</cp:coreProperties>
</file>